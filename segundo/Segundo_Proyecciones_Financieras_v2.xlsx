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royecciones" sheetId="1" state="visible" r:id="rId1"/>
    <sheet name="Estimaciones" sheetId="2" state="visible" r:id="rId2"/>
  </sheets>
  <definedNames/>
  <calcPr calcId="191029" fullCalcOnLoad="1" calcCompleted="0"/>
</workbook>
</file>

<file path=xl/styles.xml><?xml version="1.0" encoding="utf-8"?>
<styleSheet xmlns="http://schemas.openxmlformats.org/spreadsheetml/2006/main">
  <numFmts count="4">
    <numFmt numFmtId="164" formatCode="_-&quot;$&quot;* #,##0_-;\-&quot;$&quot;* #,##0_-;_-&quot;$&quot;* &quot;-&quot;??_-;_-@_-"/>
    <numFmt numFmtId="165" formatCode="_-&quot;$&quot;* #,##0.00_-;\-&quot;$&quot;* #,##0.00_-;_-&quot;$&quot;* &quot;-&quot;??_-;_-@_-"/>
    <numFmt numFmtId="166" formatCode="0.0%"/>
    <numFmt numFmtId="167" formatCode="0.0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color theme="8"/>
      <sz val="11"/>
    </font>
    <font>
      <name val="Arial"/>
      <family val="2"/>
      <b val="1"/>
      <color theme="8"/>
      <sz val="11"/>
    </font>
    <font>
      <name val="Arial"/>
      <family val="2"/>
      <b val="1"/>
      <color theme="8"/>
      <sz val="12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color theme="7"/>
      <sz val="11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theme="8"/>
      </left>
      <right/>
      <top style="medium">
        <color theme="8"/>
      </top>
      <bottom/>
      <diagonal/>
    </border>
    <border>
      <left/>
      <right/>
      <top style="medium">
        <color theme="8"/>
      </top>
      <bottom/>
      <diagonal/>
    </border>
    <border>
      <left style="medium">
        <color theme="8"/>
      </left>
      <right/>
      <top/>
      <bottom style="medium">
        <color theme="8"/>
      </bottom>
      <diagonal/>
    </border>
    <border>
      <left/>
      <right/>
      <top/>
      <bottom style="medium">
        <color theme="8"/>
      </bottom>
      <diagonal/>
    </border>
    <border>
      <left/>
      <right style="medium">
        <color theme="8"/>
      </right>
      <top style="medium">
        <color theme="8"/>
      </top>
      <bottom/>
      <diagonal/>
    </border>
    <border>
      <left style="medium">
        <color theme="8"/>
      </left>
      <right/>
      <top/>
      <bottom/>
      <diagonal/>
    </border>
    <border>
      <left/>
      <right style="medium">
        <color theme="8"/>
      </right>
      <top/>
      <bottom/>
      <diagonal/>
    </border>
    <border>
      <left/>
      <right style="medium">
        <color theme="8"/>
      </right>
      <top/>
      <bottom style="medium">
        <color theme="8"/>
      </bottom>
      <diagonal/>
    </border>
    <border>
      <left style="medium">
        <color theme="8"/>
      </left>
      <right/>
      <top style="medium">
        <color theme="8"/>
      </top>
      <bottom style="medium">
        <color theme="8"/>
      </bottom>
      <diagonal/>
    </border>
    <border>
      <left/>
      <right/>
      <top style="medium">
        <color theme="8"/>
      </top>
      <bottom style="medium">
        <color theme="8"/>
      </bottom>
      <diagonal/>
    </border>
    <border>
      <left/>
      <right style="medium">
        <color theme="8"/>
      </right>
      <top style="medium">
        <color theme="8"/>
      </top>
      <bottom style="medium">
        <color theme="8"/>
      </bottom>
      <diagonal/>
    </border>
    <border>
      <left style="medium">
        <color theme="8"/>
      </left>
      <right style="medium">
        <color theme="8"/>
      </right>
      <top style="medium">
        <color theme="8"/>
      </top>
      <bottom/>
      <diagonal/>
    </border>
    <border>
      <left style="medium">
        <color theme="8"/>
      </left>
      <right style="medium">
        <color theme="8"/>
      </right>
      <top/>
      <bottom style="medium">
        <color theme="8"/>
      </bottom>
      <diagonal/>
    </border>
    <border>
      <left style="medium">
        <color theme="8"/>
      </left>
      <right style="medium">
        <color theme="8"/>
      </right>
      <top/>
      <bottom/>
      <diagonal/>
    </border>
    <border>
      <left style="medium">
        <color theme="8"/>
      </left>
      <right style="medium">
        <color theme="8"/>
      </right>
      <top style="medium">
        <color theme="8"/>
      </top>
      <bottom style="medium">
        <color theme="8"/>
      </bottom>
      <diagonal/>
    </border>
  </borders>
  <cellStyleXfs count="3">
    <xf numFmtId="0" fontId="1" fillId="0" borderId="0"/>
    <xf numFmtId="165" fontId="1" fillId="0" borderId="0"/>
    <xf numFmtId="9" fontId="1" fillId="0" borderId="0"/>
  </cellStyleXfs>
  <cellXfs count="114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1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164" fontId="4" fillId="0" borderId="2" applyAlignment="1" pivotButton="0" quotePrefix="0" xfId="1">
      <alignment horizontal="center" vertical="center"/>
    </xf>
    <xf numFmtId="164" fontId="4" fillId="0" borderId="5" applyAlignment="1" pivotButton="0" quotePrefix="0" xfId="1">
      <alignment horizontal="center" vertical="center" wrapText="1"/>
    </xf>
    <xf numFmtId="164" fontId="4" fillId="0" borderId="0" applyAlignment="1" pivotButton="0" quotePrefix="0" xfId="1">
      <alignment horizontal="center" vertical="center"/>
    </xf>
    <xf numFmtId="9" fontId="4" fillId="0" borderId="0" applyAlignment="1" pivotButton="0" quotePrefix="0" xfId="2">
      <alignment horizontal="center" vertical="center"/>
    </xf>
    <xf numFmtId="164" fontId="4" fillId="0" borderId="7" applyAlignment="1" pivotButton="0" quotePrefix="0" xfId="1">
      <alignment horizontal="center" vertical="center"/>
    </xf>
    <xf numFmtId="0" fontId="3" fillId="0" borderId="6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164" fontId="4" fillId="0" borderId="7" applyAlignment="1" pivotButton="0" quotePrefix="0" xfId="1">
      <alignment horizontal="center" vertical="center" wrapText="1"/>
    </xf>
    <xf numFmtId="0" fontId="4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164" fontId="4" fillId="0" borderId="4" applyAlignment="1" pivotButton="0" quotePrefix="0" xfId="1">
      <alignment horizontal="center" vertical="center"/>
    </xf>
    <xf numFmtId="164" fontId="3" fillId="0" borderId="2" applyAlignment="1" pivotButton="0" quotePrefix="0" xfId="1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4" fillId="0" borderId="0" applyAlignment="1" pivotButton="0" quotePrefix="0" xfId="1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165" fontId="4" fillId="0" borderId="0" applyAlignment="1" pivotButton="0" quotePrefix="0" xfId="1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4" fontId="6" fillId="0" borderId="0" applyAlignment="1" pivotButton="0" quotePrefix="0" xfId="1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164" fontId="6" fillId="0" borderId="7" applyAlignment="1" pivotButton="0" quotePrefix="0" xfId="1">
      <alignment horizontal="center" vertical="center"/>
    </xf>
    <xf numFmtId="164" fontId="6" fillId="0" borderId="7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6" fillId="0" borderId="6" applyAlignment="1" pivotButton="0" quotePrefix="0" xfId="1">
      <alignment horizontal="center" vertical="center"/>
    </xf>
    <xf numFmtId="164" fontId="6" fillId="0" borderId="6" applyAlignment="1" pivotButton="0" quotePrefix="0" xfId="0">
      <alignment horizontal="center" vertical="center"/>
    </xf>
    <xf numFmtId="2" fontId="4" fillId="0" borderId="0" applyAlignment="1" pivotButton="0" quotePrefix="0" xfId="2">
      <alignment horizontal="center" vertical="center"/>
    </xf>
    <xf numFmtId="165" fontId="4" fillId="0" borderId="2" applyAlignment="1" pivotButton="0" quotePrefix="0" xfId="1">
      <alignment horizontal="center" vertical="center" wrapText="1"/>
    </xf>
    <xf numFmtId="1" fontId="4" fillId="0" borderId="4" applyAlignment="1" pivotButton="0" quotePrefix="0" xfId="1">
      <alignment horizontal="center" vertical="center"/>
    </xf>
    <xf numFmtId="2" fontId="4" fillId="0" borderId="8" applyAlignment="1" pivotButton="0" quotePrefix="0" xfId="1">
      <alignment horizontal="center" vertical="center" wrapText="1"/>
    </xf>
    <xf numFmtId="1" fontId="6" fillId="0" borderId="2" applyAlignment="1" pivotButton="0" quotePrefix="0" xfId="0">
      <alignment horizontal="center" vertical="center"/>
    </xf>
    <xf numFmtId="1" fontId="8" fillId="0" borderId="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164" fontId="6" fillId="0" borderId="14" applyAlignment="1" pivotButton="0" quotePrefix="0" xfId="1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164" fontId="8" fillId="0" borderId="4" applyAlignment="1" pivotButton="0" quotePrefix="0" xfId="0">
      <alignment horizontal="center" vertical="center"/>
    </xf>
    <xf numFmtId="164" fontId="5" fillId="0" borderId="7" applyAlignment="1" pivotButton="0" quotePrefix="0" xfId="0">
      <alignment horizontal="center" vertical="center"/>
    </xf>
    <xf numFmtId="164" fontId="8" fillId="0" borderId="8" applyAlignment="1" pivotButton="0" quotePrefix="0" xfId="0">
      <alignment horizontal="center" vertical="center"/>
    </xf>
    <xf numFmtId="165" fontId="4" fillId="0" borderId="4" applyAlignment="1" pivotButton="0" quotePrefix="0" xfId="1">
      <alignment horizontal="center" vertical="center"/>
    </xf>
    <xf numFmtId="0" fontId="4" fillId="0" borderId="0" applyAlignment="1" pivotButton="0" quotePrefix="0" xfId="2">
      <alignment horizontal="center" vertical="center"/>
    </xf>
    <xf numFmtId="166" fontId="6" fillId="0" borderId="0" applyAlignment="1" pivotButton="0" quotePrefix="0" xfId="2">
      <alignment horizontal="center" vertical="center"/>
    </xf>
    <xf numFmtId="165" fontId="6" fillId="0" borderId="0" applyAlignment="1" pivotButton="0" quotePrefix="0" xfId="1">
      <alignment horizontal="center" vertical="center"/>
    </xf>
    <xf numFmtId="1" fontId="6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 wrapText="1"/>
    </xf>
    <xf numFmtId="164" fontId="11" fillId="0" borderId="0" applyAlignment="1" pivotButton="0" quotePrefix="0" xfId="0">
      <alignment horizontal="center" vertical="center"/>
    </xf>
    <xf numFmtId="167" fontId="11" fillId="0" borderId="0" applyAlignment="1" pivotButton="0" quotePrefix="0" xfId="1">
      <alignment horizontal="center" vertical="center"/>
    </xf>
    <xf numFmtId="166" fontId="12" fillId="0" borderId="0" applyAlignment="1" pivotButton="0" quotePrefix="0" xfId="2">
      <alignment horizontal="center" vertical="center"/>
    </xf>
    <xf numFmtId="165" fontId="6" fillId="0" borderId="0" applyAlignment="1" pivotButton="0" quotePrefix="0" xfId="1">
      <alignment horizontal="center" vertical="center"/>
    </xf>
    <xf numFmtId="0" fontId="5" fillId="0" borderId="1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5" pivotButton="0" quotePrefix="0" xfId="0"/>
    <xf numFmtId="0" fontId="5" fillId="0" borderId="12" applyAlignment="1" pivotButton="0" quotePrefix="0" xfId="0">
      <alignment horizontal="center" vertical="center"/>
    </xf>
    <xf numFmtId="0" fontId="0" fillId="0" borderId="13" pivotButton="0" quotePrefix="0" xfId="0"/>
    <xf numFmtId="164" fontId="6" fillId="0" borderId="0" applyAlignment="1" pivotButton="0" quotePrefix="0" xfId="1">
      <alignment horizontal="center" vertical="center"/>
    </xf>
    <xf numFmtId="164" fontId="6" fillId="0" borderId="14" applyAlignment="1" pivotButton="0" quotePrefix="0" xfId="1">
      <alignment horizontal="center" vertical="center" wrapText="1"/>
    </xf>
    <xf numFmtId="164" fontId="6" fillId="0" borderId="7" applyAlignment="1" pivotButton="0" quotePrefix="0" xfId="1">
      <alignment horizontal="center" vertical="center"/>
    </xf>
    <xf numFmtId="164" fontId="6" fillId="0" borderId="6" applyAlignment="1" pivotButton="0" quotePrefix="0" xfId="1">
      <alignment horizontal="center" vertical="center"/>
    </xf>
    <xf numFmtId="164" fontId="6" fillId="0" borderId="0" applyAlignment="1" pivotButton="0" quotePrefix="0" xfId="0">
      <alignment horizontal="center" vertical="center"/>
    </xf>
    <xf numFmtId="164" fontId="6" fillId="0" borderId="7" applyAlignment="1" pivotButton="0" quotePrefix="0" xfId="0">
      <alignment horizontal="center" vertical="center"/>
    </xf>
    <xf numFmtId="164" fontId="6" fillId="0" borderId="6" applyAlignment="1" pivotButton="0" quotePrefix="0" xfId="0">
      <alignment horizontal="center" vertical="center"/>
    </xf>
    <xf numFmtId="0" fontId="0" fillId="0" borderId="14" pivotButton="0" quotePrefix="0" xfId="0"/>
    <xf numFmtId="164" fontId="8" fillId="0" borderId="0" applyAlignment="1" pivotButton="0" quotePrefix="0" xfId="0">
      <alignment horizontal="center" vertical="center" wrapText="1"/>
    </xf>
    <xf numFmtId="167" fontId="11" fillId="0" borderId="0" applyAlignment="1" pivotButton="0" quotePrefix="0" xfId="1">
      <alignment horizontal="center" vertical="center"/>
    </xf>
    <xf numFmtId="164" fontId="5" fillId="0" borderId="7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164" fontId="8" fillId="0" borderId="8" applyAlignment="1" pivotButton="0" quotePrefix="0" xfId="0">
      <alignment horizontal="center" vertical="center"/>
    </xf>
    <xf numFmtId="164" fontId="8" fillId="0" borderId="4" applyAlignment="1" pivotButton="0" quotePrefix="0" xfId="0">
      <alignment horizontal="center" vertical="center"/>
    </xf>
    <xf numFmtId="164" fontId="4" fillId="0" borderId="0" applyAlignment="1" pivotButton="0" quotePrefix="0" xfId="1">
      <alignment horizontal="center" vertical="center"/>
    </xf>
    <xf numFmtId="0" fontId="9" fillId="0" borderId="15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164" fontId="3" fillId="0" borderId="2" applyAlignment="1" pivotButton="0" quotePrefix="0" xfId="1">
      <alignment horizontal="center" vertical="center"/>
    </xf>
    <xf numFmtId="164" fontId="4" fillId="0" borderId="4" applyAlignment="1" pivotButton="0" quotePrefix="0" xfId="1">
      <alignment horizontal="center" vertical="center"/>
    </xf>
    <xf numFmtId="0" fontId="9" fillId="0" borderId="15" applyAlignment="1" pivotButton="0" quotePrefix="0" xfId="0">
      <alignment horizontal="center" vertical="center" wrapText="1"/>
    </xf>
    <xf numFmtId="165" fontId="4" fillId="0" borderId="2" applyAlignment="1" pivotButton="0" quotePrefix="0" xfId="1">
      <alignment horizontal="center" vertical="center" wrapText="1"/>
    </xf>
    <xf numFmtId="164" fontId="4" fillId="0" borderId="2" applyAlignment="1" pivotButton="0" quotePrefix="0" xfId="1">
      <alignment horizontal="center" vertical="center"/>
    </xf>
    <xf numFmtId="164" fontId="4" fillId="0" borderId="5" applyAlignment="1" pivotButton="0" quotePrefix="0" xfId="1">
      <alignment horizontal="center" vertical="center" wrapText="1"/>
    </xf>
    <xf numFmtId="164" fontId="4" fillId="0" borderId="7" applyAlignment="1" pivotButton="0" quotePrefix="0" xfId="1">
      <alignment horizontal="center" vertical="center"/>
    </xf>
    <xf numFmtId="164" fontId="4" fillId="0" borderId="7" applyAlignment="1" pivotButton="0" quotePrefix="0" xfId="1">
      <alignment horizontal="center" vertical="center" wrapText="1"/>
    </xf>
    <xf numFmtId="165" fontId="4" fillId="0" borderId="0" applyAlignment="1" pivotButton="0" quotePrefix="0" xfId="1">
      <alignment horizontal="center" vertical="center" wrapText="1"/>
    </xf>
    <xf numFmtId="165" fontId="4" fillId="0" borderId="4" applyAlignment="1" pivotButton="0" quotePrefix="0" xfId="1">
      <alignment horizontal="center" vertical="center"/>
    </xf>
  </cellXfs>
  <cellStyles count="3">
    <cellStyle name="Normal" xfId="0" builtinId="0"/>
    <cellStyle name="Moneda" xfId="1" builtinId="4"/>
    <cellStyle name="Porcentaje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MX" b="1"/>
              <a:t>Proyección de costos e ingresos: Año 1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>None</a:t>
          </a:r>
          <a:endParaRPr lang="es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Proyecciones!$A$10</f>
              <strCache>
                <ptCount val="1"/>
                <pt idx="0">
                  <v xml:space="preserve"> Costos totales </v>
                </pt>
              </strCache>
            </strRef>
          </tx>
          <spPr>
            <a:ln w="28575" cap="rnd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spPr>
          </marker>
          <cat>
            <numRef>
              <f>Proyecciones!$B$9:$M$9</f>
              <numCache>
                <formatCode>0</formatCode>
                <ptCount val="12"/>
                <pt idx="0">
                  <v>100</v>
                </pt>
                <pt idx="1">
                  <v>200</v>
                </pt>
                <pt idx="2">
                  <v>300</v>
                </pt>
                <pt idx="3">
                  <v>400</v>
                </pt>
                <pt idx="4">
                  <v>500</v>
                </pt>
                <pt idx="5">
                  <v>600</v>
                </pt>
                <pt idx="6">
                  <v>700</v>
                </pt>
                <pt idx="7">
                  <v>800</v>
                </pt>
                <pt idx="8">
                  <v>900</v>
                </pt>
                <pt idx="9">
                  <v>1000</v>
                </pt>
                <pt idx="10">
                  <v>1100</v>
                </pt>
                <pt idx="11">
                  <v>1200</v>
                </pt>
              </numCache>
            </numRef>
          </cat>
          <val>
            <numRef>
              <f>Proyecciones!$B$10:$M$10</f>
              <numCache>
                <formatCode>_-"$"* #,##0_-;\-"$"* #,##0_-;_-"$"* "-"??_-;_-@_-</formatCode>
                <ptCount val="12"/>
                <pt idx="0">
                  <v>19750000</v>
                </pt>
                <pt idx="1">
                  <v>20000000</v>
                </pt>
                <pt idx="2">
                  <v>20250000</v>
                </pt>
                <pt idx="3">
                  <v>20500000</v>
                </pt>
                <pt idx="4">
                  <v>20750000</v>
                </pt>
                <pt idx="5">
                  <v>21000000</v>
                </pt>
                <pt idx="6">
                  <v>21250000</v>
                </pt>
                <pt idx="7">
                  <v>21500000</v>
                </pt>
                <pt idx="8">
                  <v>21750000</v>
                </pt>
                <pt idx="9">
                  <v>22000000</v>
                </pt>
                <pt idx="10">
                  <v>22250000</v>
                </pt>
                <pt idx="11">
                  <v>22500000</v>
                </pt>
              </numCache>
            </numRef>
          </val>
          <smooth val="0"/>
        </ser>
        <ser>
          <idx val="1"/>
          <order val="1"/>
          <tx>
            <strRef>
              <f>Proyecciones!$A$12</f>
              <strCache>
                <ptCount val="1"/>
                <pt idx="0">
                  <v>Ingresos totales</v>
                </pt>
              </strCache>
            </strRef>
          </tx>
          <spPr>
            <a:ln w="28575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spPr>
          </marker>
          <dLbls>
            <dLbl>
              <idx val="5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>None</a:t>
                </a:r>
                <a:endParaRPr lang="es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val>
            <numRef>
              <f>Proyecciones!$A$12:$M$12</f>
              <numCache>
                <formatCode>_-"$"* #,##0_-;\-"$"* #,##0_-;_-"$"* "-"??_-;_-@_-</formatCode>
                <ptCount val="13"/>
                <pt idx="0">
                  <formatCode>General</formatCode>
                  <v>0</v>
                </pt>
                <pt idx="1">
                  <v>4225000</v>
                </pt>
                <pt idx="2">
                  <v>8450000</v>
                </pt>
                <pt idx="3">
                  <v>12675000</v>
                </pt>
                <pt idx="4">
                  <v>16900000</v>
                </pt>
                <pt idx="5">
                  <v>21125000</v>
                </pt>
                <pt idx="6">
                  <v>25350000</v>
                </pt>
                <pt idx="7">
                  <v>29575000</v>
                </pt>
                <pt idx="8">
                  <v>33800000</v>
                </pt>
                <pt idx="9">
                  <v>38025000</v>
                </pt>
                <pt idx="10">
                  <v>42250000</v>
                </pt>
                <pt idx="11">
                  <v>46475000</v>
                </pt>
                <pt idx="12">
                  <v>50700000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52010640"/>
        <axId val="297508032"/>
      </lineChart>
      <catAx>
        <axId val="252010640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MX"/>
                  <a:t>Número de usuarios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r>
                <a:t>None</a:t>
              </a:r>
              <a:endParaRPr lang="es-US"/>
            </a:p>
          </txPr>
        </title>
        <numFmt formatCode="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>None</a:t>
            </a:r>
            <a:endParaRPr lang="es-US"/>
          </a:p>
        </txPr>
        <crossAx val="297508032"/>
        <crosses val="autoZero"/>
        <auto val="1"/>
        <lblAlgn val="ctr"/>
        <lblOffset val="100"/>
        <noMultiLvlLbl val="0"/>
      </catAx>
      <valAx>
        <axId val="29750803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&quot;$&quot;* #,##0_-;\-&quot;$&quot;* #,##0_-;_-&quot;$&quot;* &quot;-&quot;??_-;_-@_-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>None</a:t>
            </a:r>
            <a:endParaRPr lang="es-US"/>
          </a:p>
        </txPr>
        <crossAx val="25201064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>None</a:t>
          </a:r>
          <a:endParaRPr lang="es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MX" sz="1400" b="1" i="0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Proyección de costos e ingresos: Año 2 y 3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>None</a:t>
          </a:r>
          <a:endParaRPr lang="es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Proyecciones!$A$10</f>
              <strCache>
                <ptCount val="1"/>
                <pt idx="0">
                  <v xml:space="preserve"> Costos totales </v>
                </pt>
              </strCache>
            </strRef>
          </tx>
          <spPr>
            <a:ln w="28575" cap="rnd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spPr>
          </marker>
          <cat>
            <numRef>
              <f>Proyecciones!$N$9:$AK$9</f>
              <numCache>
                <formatCode>General</formatCode>
                <ptCount val="24"/>
                <pt idx="0">
                  <v>1520</v>
                </pt>
                <pt idx="1">
                  <v>1840</v>
                </pt>
                <pt idx="2">
                  <v>2160</v>
                </pt>
                <pt idx="3">
                  <v>2480</v>
                </pt>
                <pt idx="4">
                  <v>2800</v>
                </pt>
                <pt idx="5">
                  <v>3120</v>
                </pt>
                <pt idx="6">
                  <v>3440</v>
                </pt>
                <pt idx="7">
                  <v>3760</v>
                </pt>
                <pt idx="8">
                  <v>4080</v>
                </pt>
                <pt idx="9">
                  <v>4400</v>
                </pt>
                <pt idx="10">
                  <v>4720</v>
                </pt>
                <pt idx="11">
                  <v>5040</v>
                </pt>
                <pt idx="12">
                  <v>5640</v>
                </pt>
                <pt idx="13">
                  <v>6240</v>
                </pt>
                <pt idx="14">
                  <v>6840</v>
                </pt>
                <pt idx="15">
                  <v>7440</v>
                </pt>
                <pt idx="16">
                  <v>8040</v>
                </pt>
                <pt idx="17">
                  <v>8640</v>
                </pt>
                <pt idx="18">
                  <v>9240</v>
                </pt>
                <pt idx="19">
                  <v>9840</v>
                </pt>
                <pt idx="20">
                  <v>10440</v>
                </pt>
                <pt idx="21">
                  <v>11040</v>
                </pt>
                <pt idx="22">
                  <v>11640</v>
                </pt>
                <pt idx="23">
                  <v>12240</v>
                </pt>
              </numCache>
            </numRef>
          </cat>
          <val>
            <numRef>
              <f>Proyecciones!$N$10:$AK$10</f>
              <numCache>
                <formatCode>_-"$"* #,##0_-;\-"$"* #,##0_-;_-"$"* "-"??_-;_-@_-</formatCode>
                <ptCount val="24"/>
                <pt idx="0">
                  <v>30240000</v>
                </pt>
                <pt idx="1">
                  <v>31080000</v>
                </pt>
                <pt idx="2">
                  <v>31920000</v>
                </pt>
                <pt idx="3">
                  <v>32760000</v>
                </pt>
                <pt idx="4">
                  <v>33600000</v>
                </pt>
                <pt idx="5">
                  <v>34440000</v>
                </pt>
                <pt idx="6">
                  <v>35280000</v>
                </pt>
                <pt idx="7">
                  <v>36120000</v>
                </pt>
                <pt idx="8">
                  <v>36960000</v>
                </pt>
                <pt idx="9">
                  <v>37800000</v>
                </pt>
                <pt idx="10">
                  <v>38640000</v>
                </pt>
                <pt idx="11">
                  <v>39480000</v>
                </pt>
                <pt idx="12">
                  <v>50812650</v>
                </pt>
                <pt idx="13">
                  <v>52466400</v>
                </pt>
                <pt idx="14">
                  <v>54120150</v>
                </pt>
                <pt idx="15">
                  <v>55773900</v>
                </pt>
                <pt idx="16">
                  <v>57427650</v>
                </pt>
                <pt idx="17">
                  <v>59081400</v>
                </pt>
                <pt idx="18">
                  <v>60735150</v>
                </pt>
                <pt idx="19">
                  <v>62388900</v>
                </pt>
                <pt idx="20">
                  <v>64042650</v>
                </pt>
                <pt idx="21">
                  <v>65696400</v>
                </pt>
                <pt idx="22">
                  <v>67350150</v>
                </pt>
                <pt idx="23">
                  <v>69003900</v>
                </pt>
              </numCache>
            </numRef>
          </val>
          <smooth val="0"/>
        </ser>
        <ser>
          <idx val="1"/>
          <order val="1"/>
          <tx>
            <strRef>
              <f>Proyecciones!$A$12</f>
              <strCache>
                <ptCount val="1"/>
                <pt idx="0">
                  <v>Ingresos totales</v>
                </pt>
              </strCache>
            </strRef>
          </tx>
          <spPr>
            <a:ln w="28575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spPr>
          </marker>
          <cat>
            <numRef>
              <f>Proyecciones!$N$9:$AK$9</f>
              <numCache>
                <formatCode>General</formatCode>
                <ptCount val="24"/>
                <pt idx="0">
                  <v>1520</v>
                </pt>
                <pt idx="1">
                  <v>1840</v>
                </pt>
                <pt idx="2">
                  <v>2160</v>
                </pt>
                <pt idx="3">
                  <v>2480</v>
                </pt>
                <pt idx="4">
                  <v>2800</v>
                </pt>
                <pt idx="5">
                  <v>3120</v>
                </pt>
                <pt idx="6">
                  <v>3440</v>
                </pt>
                <pt idx="7">
                  <v>3760</v>
                </pt>
                <pt idx="8">
                  <v>4080</v>
                </pt>
                <pt idx="9">
                  <v>4400</v>
                </pt>
                <pt idx="10">
                  <v>4720</v>
                </pt>
                <pt idx="11">
                  <v>5040</v>
                </pt>
                <pt idx="12">
                  <v>5640</v>
                </pt>
                <pt idx="13">
                  <v>6240</v>
                </pt>
                <pt idx="14">
                  <v>6840</v>
                </pt>
                <pt idx="15">
                  <v>7440</v>
                </pt>
                <pt idx="16">
                  <v>8040</v>
                </pt>
                <pt idx="17">
                  <v>8640</v>
                </pt>
                <pt idx="18">
                  <v>9240</v>
                </pt>
                <pt idx="19">
                  <v>9840</v>
                </pt>
                <pt idx="20">
                  <v>10440</v>
                </pt>
                <pt idx="21">
                  <v>11040</v>
                </pt>
                <pt idx="22">
                  <v>11640</v>
                </pt>
                <pt idx="23">
                  <v>12240</v>
                </pt>
              </numCache>
            </numRef>
          </cat>
          <val>
            <numRef>
              <f>Proyecciones!$N$12:$AK$12</f>
              <numCache>
                <formatCode>_-"$"* #,##0_-;\-"$"* #,##0_-;_-"$"* "-"??_-;_-@_-</formatCode>
                <ptCount val="24"/>
                <pt idx="0">
                  <v>67431000</v>
                </pt>
                <pt idx="1">
                  <v>81627000</v>
                </pt>
                <pt idx="2">
                  <v>95823000</v>
                </pt>
                <pt idx="3">
                  <v>110019000</v>
                </pt>
                <pt idx="4">
                  <v>124215000</v>
                </pt>
                <pt idx="5">
                  <v>138411000</v>
                </pt>
                <pt idx="6">
                  <v>152607000</v>
                </pt>
                <pt idx="7">
                  <v>166803000</v>
                </pt>
                <pt idx="8">
                  <v>180999000</v>
                </pt>
                <pt idx="9">
                  <v>195195000</v>
                </pt>
                <pt idx="10">
                  <v>209391000</v>
                </pt>
                <pt idx="11">
                  <v>223587000</v>
                </pt>
                <pt idx="12">
                  <v>262714725</v>
                </pt>
                <pt idx="13">
                  <v>290663100</v>
                </pt>
                <pt idx="14">
                  <v>318611475</v>
                </pt>
                <pt idx="15">
                  <v>346559850</v>
                </pt>
                <pt idx="16">
                  <v>374508225</v>
                </pt>
                <pt idx="17">
                  <v>402456600</v>
                </pt>
                <pt idx="18">
                  <v>430404975</v>
                </pt>
                <pt idx="19">
                  <v>458353350</v>
                </pt>
                <pt idx="20">
                  <v>486301725</v>
                </pt>
                <pt idx="21">
                  <v>514250100</v>
                </pt>
                <pt idx="22">
                  <v>542198475</v>
                </pt>
                <pt idx="23">
                  <v>570146850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9681824"/>
        <axId val="49998864"/>
      </lineChart>
      <catAx>
        <axId val="49681824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MX"/>
                  <a:t xml:space="preserve"> Número</a:t>
                </a:r>
                <a:r>
                  <a:rPr lang="es-MX" baseline="0"/>
                  <a:t xml:space="preserve"> de usuarios</a:t>
                </a:r>
                <a:endParaRPr lang="es-MX"/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r>
                <a:t>None</a:t>
              </a:r>
              <a:endParaRPr lang="es-MX"/>
            </a:p>
          </tx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>None</a:t>
            </a:r>
            <a:endParaRPr lang="es-US"/>
          </a:p>
        </txPr>
        <crossAx val="49998864"/>
        <crosses val="autoZero"/>
        <auto val="1"/>
        <lblAlgn val="ctr"/>
        <lblOffset val="100"/>
        <noMultiLvlLbl val="0"/>
      </catAx>
      <valAx>
        <axId val="4999886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&quot;$&quot;* #,##0_-;\-&quot;$&quot;* #,##0_-;_-&quot;$&quot;* &quot;-&quot;??_-;_-@_-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>None</a:t>
            </a:r>
            <a:endParaRPr lang="es-US"/>
          </a:p>
        </txPr>
        <crossAx val="49681824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>None</a:t>
          </a:r>
          <a:endParaRPr lang="es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MX" b="1"/>
              <a:t>Proyección de EBITDA y Utilidad</a:t>
            </a:r>
            <a:r>
              <a:rPr lang="es-MX" b="1" baseline="0"/>
              <a:t xml:space="preserve"> neta</a:t>
            </a:r>
            <a:endParaRPr lang="es-MX" b="1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>None</a:t>
          </a:r>
          <a:endParaRPr lang="es-MX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Proyecciones!$A$13</f>
              <strCache>
                <ptCount val="1"/>
                <pt idx="0">
                  <v>Utilidad operativa (EBITDA)</v>
                </pt>
              </strCache>
            </strRef>
          </tx>
          <spPr>
            <a:solidFill>
              <a:schemeClr val="accent5">
                <a:shade val="76000"/>
              </a:schemeClr>
            </a:solidFill>
            <a:ln>
              <a:noFill/>
              <a:prstDash val="solid"/>
            </a:ln>
          </spPr>
          <invertIfNegative val="0"/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>None</a:t>
                </a:r>
                <a:endParaRPr lang="es-CO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(Proyecciones!$M$14,Proyecciones!$Y$14,Proyecciones!$AK$14)</f>
              <numCache>
                <formatCode>_-"$"* #,##0_-;\-"$"* #,##0_-;_-"$"* "-"??_-;_-@_-</formatCode>
                <ptCount val="3"/>
                <pt idx="0">
                  <v>76050000</v>
                </pt>
                <pt idx="1">
                  <v>1327788000</v>
                </pt>
                <pt idx="2">
                  <v>4278270150</v>
                </pt>
              </numCache>
            </numRef>
          </val>
        </ser>
        <ser>
          <idx val="1"/>
          <order val="1"/>
          <tx>
            <strRef>
              <f>Proyecciones!$A$19</f>
              <strCache>
                <ptCount val="1"/>
                <pt idx="0">
                  <v>Utilidad neta</v>
                </pt>
              </strCache>
            </strRef>
          </tx>
          <spPr>
            <a:solidFill>
              <a:schemeClr val="accent5">
                <a:tint val="77000"/>
              </a:schemeClr>
            </a:solidFill>
            <a:ln>
              <a:noFill/>
              <a:prstDash val="solid"/>
            </a:ln>
          </spPr>
          <invertIfNegative val="0"/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>None</a:t>
                </a:r>
                <a:endParaRPr lang="es-CO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(Proyecciones!$M$19,Proyecciones!$Y$19,Proyecciones!$AK$19)</f>
              <numCache>
                <formatCode>_-"$"* #,##0_-;\-"$"* #,##0_-;_-"$"* "-"??_-;_-@_-</formatCode>
                <ptCount val="3"/>
                <pt idx="0">
                  <v>45477900</v>
                </pt>
                <pt idx="1">
                  <v>794017224</v>
                </pt>
                <pt idx="2">
                  <v>2558405549.7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125278511"/>
        <axId val="2141087727"/>
      </barChart>
      <catAx>
        <axId val="2125278511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MX"/>
                  <a:t>Año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r>
                <a:t>None</a:t>
              </a:r>
              <a:endParaRPr lang="es-US"/>
            </a:p>
          </txPr>
        </title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>None</a:t>
            </a:r>
            <a:endParaRPr lang="es-US"/>
          </a:p>
        </txPr>
        <crossAx val="2141087727"/>
        <crosses val="autoZero"/>
        <auto val="1"/>
        <lblAlgn val="ctr"/>
        <lblOffset val="100"/>
        <noMultiLvlLbl val="0"/>
      </catAx>
      <valAx>
        <axId val="2141087727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&quot;$&quot;* #,##0_-;\-&quot;$&quot;* #,##0_-;_-&quot;$&quot;* &quot;-&quot;??_-;_-@_-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>None</a:t>
            </a:r>
            <a:endParaRPr lang="es-US"/>
          </a:p>
        </txPr>
        <crossAx val="2125278511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>None</a:t>
          </a:r>
          <a:endParaRPr lang="es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262465</colOff>
      <row>20</row>
      <rowOff>143934</rowOff>
    </from>
    <to>
      <col>5</col>
      <colOff>1015998</colOff>
      <row>36</row>
      <rowOff>135468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6</col>
      <colOff>135467</colOff>
      <row>21</row>
      <rowOff>4233</rowOff>
    </from>
    <to>
      <col>11</col>
      <colOff>1159934</colOff>
      <row>36</row>
      <rowOff>177799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12</col>
      <colOff>694268</colOff>
      <row>21</row>
      <rowOff>4233</rowOff>
    </from>
    <to>
      <col>16</col>
      <colOff>1019175</colOff>
      <row>38</row>
      <rowOff>85725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"/>
  <sheetViews>
    <sheetView tabSelected="1" zoomScaleNormal="100" workbookViewId="0">
      <pane xSplit="1" topLeftCell="B1" activePane="topRight" state="frozen"/>
      <selection pane="topRight" activeCell="R31" sqref="R31"/>
    </sheetView>
  </sheetViews>
  <sheetFormatPr baseColWidth="10" defaultColWidth="10.875" defaultRowHeight="14.25"/>
  <cols>
    <col width="16.875" customWidth="1" style="25" min="1" max="1"/>
    <col width="16.125" customWidth="1" style="26" min="2" max="37"/>
    <col width="10.875" customWidth="1" style="26" min="38" max="16384"/>
  </cols>
  <sheetData>
    <row r="1" ht="15" customHeight="1">
      <c r="A1" s="50" t="n"/>
      <c r="B1" s="27" t="inlineStr">
        <is>
          <t>Año 1</t>
        </is>
      </c>
      <c r="C1" s="27" t="inlineStr">
        <is>
          <t>Año 2</t>
        </is>
      </c>
      <c r="D1" s="27" t="inlineStr">
        <is>
          <t>Año 3</t>
        </is>
      </c>
    </row>
    <row r="2" ht="15" customHeight="1">
      <c r="A2" s="50" t="inlineStr">
        <is>
          <t>Costos fijos</t>
        </is>
      </c>
      <c r="B2" s="78">
        <f>Estimaciones!C4</f>
        <v/>
      </c>
      <c r="C2" s="78">
        <f>Estimaciones!D4</f>
        <v/>
      </c>
      <c r="D2" s="78">
        <f>Estimaciones!E4</f>
        <v/>
      </c>
    </row>
    <row r="3" ht="15" customHeight="1">
      <c r="A3" s="50" t="inlineStr">
        <is>
          <t>Costos variables</t>
        </is>
      </c>
      <c r="B3" s="78">
        <f>Estimaciones!C11</f>
        <v/>
      </c>
      <c r="C3" s="78">
        <f>Estimaciones!D11</f>
        <v/>
      </c>
      <c r="D3" s="78">
        <f>Estimaciones!E11</f>
        <v/>
      </c>
    </row>
    <row r="4" ht="15" customHeight="1">
      <c r="A4" s="50" t="n"/>
    </row>
    <row r="6" ht="15" customHeight="1" thickBot="1"/>
    <row r="7" ht="15.95" customFormat="1" customHeight="1" s="27">
      <c r="A7" s="79" t="inlineStr">
        <is>
          <t>Proyecciones</t>
        </is>
      </c>
      <c r="B7" s="62" t="inlineStr">
        <is>
          <t>Año 1</t>
        </is>
      </c>
      <c r="C7" s="80" t="n"/>
      <c r="D7" s="80" t="n"/>
      <c r="E7" s="80" t="n"/>
      <c r="F7" s="80" t="n"/>
      <c r="G7" s="80" t="n"/>
      <c r="H7" s="80" t="n"/>
      <c r="I7" s="80" t="n"/>
      <c r="J7" s="80" t="n"/>
      <c r="K7" s="80" t="n"/>
      <c r="L7" s="80" t="n"/>
      <c r="M7" s="81" t="n"/>
      <c r="N7" s="61" t="inlineStr">
        <is>
          <t>Año 2</t>
        </is>
      </c>
      <c r="O7" s="80" t="n"/>
      <c r="P7" s="80" t="n"/>
      <c r="Q7" s="80" t="n"/>
      <c r="R7" s="80" t="n"/>
      <c r="S7" s="80" t="n"/>
      <c r="T7" s="80" t="n"/>
      <c r="U7" s="80" t="n"/>
      <c r="V7" s="80" t="n"/>
      <c r="W7" s="80" t="n"/>
      <c r="X7" s="80" t="n"/>
      <c r="Y7" s="80" t="n"/>
      <c r="Z7" s="82" t="inlineStr">
        <is>
          <t>Año 3</t>
        </is>
      </c>
      <c r="AA7" s="80" t="n"/>
      <c r="AB7" s="80" t="n"/>
      <c r="AC7" s="80" t="n"/>
      <c r="AD7" s="80" t="n"/>
      <c r="AE7" s="80" t="n"/>
      <c r="AF7" s="80" t="n"/>
      <c r="AG7" s="80" t="n"/>
      <c r="AH7" s="80" t="n"/>
      <c r="AI7" s="80" t="n"/>
      <c r="AJ7" s="80" t="n"/>
      <c r="AK7" s="81" t="n"/>
    </row>
    <row r="8" ht="15" customHeight="1" thickBot="1">
      <c r="A8" s="83" t="n"/>
      <c r="B8" s="4" t="inlineStr">
        <is>
          <t>M1</t>
        </is>
      </c>
      <c r="C8" s="4" t="inlineStr">
        <is>
          <t>M2</t>
        </is>
      </c>
      <c r="D8" s="4" t="inlineStr">
        <is>
          <t>M3</t>
        </is>
      </c>
      <c r="E8" s="4" t="inlineStr">
        <is>
          <t>M4</t>
        </is>
      </c>
      <c r="F8" s="5" t="inlineStr">
        <is>
          <t>M5</t>
        </is>
      </c>
      <c r="G8" s="4" t="inlineStr">
        <is>
          <t>M6</t>
        </is>
      </c>
      <c r="H8" s="4" t="inlineStr">
        <is>
          <t>M7</t>
        </is>
      </c>
      <c r="I8" s="4" t="inlineStr">
        <is>
          <t>M8</t>
        </is>
      </c>
      <c r="J8" s="4" t="inlineStr">
        <is>
          <t>M9</t>
        </is>
      </c>
      <c r="K8" s="4" t="inlineStr">
        <is>
          <t>M10</t>
        </is>
      </c>
      <c r="L8" s="4" t="inlineStr">
        <is>
          <t>M11</t>
        </is>
      </c>
      <c r="M8" s="30" t="inlineStr">
        <is>
          <t>M12</t>
        </is>
      </c>
      <c r="N8" s="4" t="inlineStr">
        <is>
          <t>M1</t>
        </is>
      </c>
      <c r="O8" s="4" t="inlineStr">
        <is>
          <t>M2</t>
        </is>
      </c>
      <c r="P8" s="4" t="inlineStr">
        <is>
          <t>M3</t>
        </is>
      </c>
      <c r="Q8" s="4" t="inlineStr">
        <is>
          <t>M4</t>
        </is>
      </c>
      <c r="R8" s="4" t="inlineStr">
        <is>
          <t>M5</t>
        </is>
      </c>
      <c r="S8" s="4" t="inlineStr">
        <is>
          <t>M6</t>
        </is>
      </c>
      <c r="T8" s="4" t="inlineStr">
        <is>
          <t>M7</t>
        </is>
      </c>
      <c r="U8" s="4" t="inlineStr">
        <is>
          <t>M8</t>
        </is>
      </c>
      <c r="V8" s="4" t="inlineStr">
        <is>
          <t>M9</t>
        </is>
      </c>
      <c r="W8" s="4" t="inlineStr">
        <is>
          <t>M10</t>
        </is>
      </c>
      <c r="X8" s="4" t="inlineStr">
        <is>
          <t>M11</t>
        </is>
      </c>
      <c r="Y8" s="4" t="inlineStr">
        <is>
          <t>M12</t>
        </is>
      </c>
      <c r="Z8" s="35" t="inlineStr">
        <is>
          <t>M1</t>
        </is>
      </c>
      <c r="AA8" s="4" t="inlineStr">
        <is>
          <t>M2</t>
        </is>
      </c>
      <c r="AB8" s="4" t="inlineStr">
        <is>
          <t>M3</t>
        </is>
      </c>
      <c r="AC8" s="4" t="inlineStr">
        <is>
          <t>M4</t>
        </is>
      </c>
      <c r="AD8" s="4" t="inlineStr">
        <is>
          <t>M5</t>
        </is>
      </c>
      <c r="AE8" s="4" t="inlineStr">
        <is>
          <t>M6</t>
        </is>
      </c>
      <c r="AF8" s="4" t="inlineStr">
        <is>
          <t>M7</t>
        </is>
      </c>
      <c r="AG8" s="4" t="inlineStr">
        <is>
          <t>M8</t>
        </is>
      </c>
      <c r="AH8" s="4" t="inlineStr">
        <is>
          <t>M9</t>
        </is>
      </c>
      <c r="AI8" s="4" t="inlineStr">
        <is>
          <t>M10</t>
        </is>
      </c>
      <c r="AJ8" s="4" t="inlineStr">
        <is>
          <t>M11</t>
        </is>
      </c>
      <c r="AK8" s="30" t="inlineStr">
        <is>
          <t>M12</t>
        </is>
      </c>
    </row>
    <row r="9" ht="15" customHeight="1">
      <c r="A9" s="46" t="inlineStr">
        <is>
          <t>No. de usuarios</t>
        </is>
      </c>
      <c r="B9" s="43" t="n">
        <v>5</v>
      </c>
      <c r="C9" s="43">
        <f>B9+30</f>
        <v/>
      </c>
      <c r="D9" s="43">
        <f>C9+30</f>
        <v/>
      </c>
      <c r="E9" s="44">
        <f>D9+30</f>
        <v/>
      </c>
      <c r="F9" s="44">
        <f>E9+30</f>
        <v/>
      </c>
      <c r="G9" s="43">
        <f>F9+30</f>
        <v/>
      </c>
      <c r="H9" s="43">
        <f>G9+30</f>
        <v/>
      </c>
      <c r="I9" s="43">
        <f>H9+30</f>
        <v/>
      </c>
      <c r="J9" s="43">
        <f>I9+30</f>
        <v/>
      </c>
      <c r="K9" s="43">
        <f>J9+30</f>
        <v/>
      </c>
      <c r="L9" s="43">
        <f>K9+30</f>
        <v/>
      </c>
      <c r="M9" s="59">
        <f>L9+30</f>
        <v/>
      </c>
      <c r="N9" s="31">
        <f>M9+120</f>
        <v/>
      </c>
      <c r="O9" s="31">
        <f>N9+120</f>
        <v/>
      </c>
      <c r="P9" s="31">
        <f>O9+120</f>
        <v/>
      </c>
      <c r="Q9" s="31">
        <f>P9+120</f>
        <v/>
      </c>
      <c r="R9" s="31">
        <f>Q9+120</f>
        <v/>
      </c>
      <c r="S9" s="31">
        <f>R9+120</f>
        <v/>
      </c>
      <c r="T9" s="31">
        <f>S9+120</f>
        <v/>
      </c>
      <c r="U9" s="31">
        <f>T9+120</f>
        <v/>
      </c>
      <c r="V9" s="31">
        <f>U9+120</f>
        <v/>
      </c>
      <c r="W9" s="31">
        <f>V9+120</f>
        <v/>
      </c>
      <c r="X9" s="31">
        <f>W9+120</f>
        <v/>
      </c>
      <c r="Y9" s="31">
        <f>X9+120</f>
        <v/>
      </c>
      <c r="Z9" s="36">
        <f>Y9+200</f>
        <v/>
      </c>
      <c r="AA9" s="31">
        <f>Z9+200</f>
        <v/>
      </c>
      <c r="AB9" s="31">
        <f>AA9+200</f>
        <v/>
      </c>
      <c r="AC9" s="31">
        <f>AB9+200</f>
        <v/>
      </c>
      <c r="AD9" s="31">
        <f>AC9+200</f>
        <v/>
      </c>
      <c r="AE9" s="31">
        <f>AD9+200</f>
        <v/>
      </c>
      <c r="AF9" s="31">
        <f>AE9+200</f>
        <v/>
      </c>
      <c r="AG9" s="31">
        <f>AF9+200</f>
        <v/>
      </c>
      <c r="AH9" s="31">
        <f>AG9+200</f>
        <v/>
      </c>
      <c r="AI9" s="31">
        <f>AH9+200</f>
        <v/>
      </c>
      <c r="AJ9" s="31">
        <f>AI9+200</f>
        <v/>
      </c>
      <c r="AK9" s="32">
        <f>AJ9+200</f>
        <v/>
      </c>
    </row>
    <row r="10" customFormat="1" s="84">
      <c r="A10" s="85" t="inlineStr">
        <is>
          <t>Costos totales</t>
        </is>
      </c>
      <c r="B10" s="84">
        <f>$B$2+($B$3*B9)</f>
        <v/>
      </c>
      <c r="C10" s="84">
        <f>$B$2+($B$3*C9)</f>
        <v/>
      </c>
      <c r="D10" s="84">
        <f>$B$2+$B$3*D9</f>
        <v/>
      </c>
      <c r="E10" s="84">
        <f>$B$2+$B$3*E9</f>
        <v/>
      </c>
      <c r="F10" s="84">
        <f>$B$2+$B$3*F9</f>
        <v/>
      </c>
      <c r="G10" s="84">
        <f>$B$2+$B$3*G9</f>
        <v/>
      </c>
      <c r="H10" s="84">
        <f>$B$2+$B$3*H9</f>
        <v/>
      </c>
      <c r="I10" s="84">
        <f>$B$2+$B$3*I9</f>
        <v/>
      </c>
      <c r="J10" s="84">
        <f>$B$2+$B$3*J9</f>
        <v/>
      </c>
      <c r="K10" s="84">
        <f>$B$2+$B$3*K9</f>
        <v/>
      </c>
      <c r="L10" s="84">
        <f>$B$2+$B$3*L9</f>
        <v/>
      </c>
      <c r="M10" s="86">
        <f>$B$2+$B$3*M9</f>
        <v/>
      </c>
      <c r="N10" s="84">
        <f>$C$2+$C$3*N9</f>
        <v/>
      </c>
      <c r="O10" s="84">
        <f>$C$2+$C$3*O9</f>
        <v/>
      </c>
      <c r="P10" s="84">
        <f>$C$2+$C$3*P9</f>
        <v/>
      </c>
      <c r="Q10" s="84">
        <f>$C$2+$C$3*Q9</f>
        <v/>
      </c>
      <c r="R10" s="84">
        <f>$C$2+$C$3*R9</f>
        <v/>
      </c>
      <c r="S10" s="84">
        <f>$C$2+$C$3*S9</f>
        <v/>
      </c>
      <c r="T10" s="84">
        <f>$C$2+$C$3*T9</f>
        <v/>
      </c>
      <c r="U10" s="84">
        <f>$C$2+$C$3*U9</f>
        <v/>
      </c>
      <c r="V10" s="84">
        <f>$C$2+$C$3*V9</f>
        <v/>
      </c>
      <c r="W10" s="84">
        <f>$C$2+$C$3*W9</f>
        <v/>
      </c>
      <c r="X10" s="84">
        <f>$C$2+$C$3*X9</f>
        <v/>
      </c>
      <c r="Y10" s="84">
        <f>$C$2+$C$3*Y9</f>
        <v/>
      </c>
      <c r="Z10" s="87">
        <f>$D$2+$D$3*Z9</f>
        <v/>
      </c>
      <c r="AA10" s="84">
        <f>$D$2+$D$3*AA9</f>
        <v/>
      </c>
      <c r="AB10" s="84">
        <f>$D$2+$D$3*AB9</f>
        <v/>
      </c>
      <c r="AC10" s="84">
        <f>$D$2+$D$3*AC9</f>
        <v/>
      </c>
      <c r="AD10" s="84">
        <f>$D$2+$D$3*AD9</f>
        <v/>
      </c>
      <c r="AE10" s="84">
        <f>$D$2+$D$3*AE9</f>
        <v/>
      </c>
      <c r="AF10" s="84">
        <f>$D$2+$D$3*AF9</f>
        <v/>
      </c>
      <c r="AG10" s="84">
        <f>$D$2+$D$3*AG9</f>
        <v/>
      </c>
      <c r="AH10" s="84">
        <f>$D$2+$D$3*AH9</f>
        <v/>
      </c>
      <c r="AI10" s="84">
        <f>$D$2+$D$3*AI9</f>
        <v/>
      </c>
      <c r="AJ10" s="84">
        <f>$D$2+$D$3*AJ9</f>
        <v/>
      </c>
      <c r="AK10" s="86">
        <f>$D$2+$D$3*AK9</f>
        <v/>
      </c>
    </row>
    <row r="11" customFormat="1" s="84">
      <c r="A11" s="85" t="inlineStr">
        <is>
          <t>Precio de venta</t>
        </is>
      </c>
      <c r="B11" s="84">
        <f>Estimaciones!C20</f>
        <v/>
      </c>
      <c r="C11" s="84">
        <f>$B$11</f>
        <v/>
      </c>
      <c r="D11" s="84">
        <f>$B$11</f>
        <v/>
      </c>
      <c r="E11" s="84">
        <f>$B$11</f>
        <v/>
      </c>
      <c r="F11" s="84">
        <f>$B$11</f>
        <v/>
      </c>
      <c r="G11" s="84">
        <f>$B$11</f>
        <v/>
      </c>
      <c r="H11" s="84">
        <f>$B$11</f>
        <v/>
      </c>
      <c r="I11" s="84">
        <f>$B$11</f>
        <v/>
      </c>
      <c r="J11" s="84">
        <f>$B$11</f>
        <v/>
      </c>
      <c r="K11" s="84">
        <f>$B$11</f>
        <v/>
      </c>
      <c r="L11" s="84">
        <f>$B$11</f>
        <v/>
      </c>
      <c r="M11" s="86">
        <f>$B$11</f>
        <v/>
      </c>
      <c r="N11" s="84">
        <f>Estimaciones!D20</f>
        <v/>
      </c>
      <c r="O11" s="84">
        <f>$N$11</f>
        <v/>
      </c>
      <c r="P11" s="84">
        <f>$N$11</f>
        <v/>
      </c>
      <c r="Q11" s="84">
        <f>$N$11</f>
        <v/>
      </c>
      <c r="R11" s="84">
        <f>$N$11</f>
        <v/>
      </c>
      <c r="S11" s="84">
        <f>$N$11</f>
        <v/>
      </c>
      <c r="T11" s="84">
        <f>$N$11</f>
        <v/>
      </c>
      <c r="U11" s="84">
        <f>$N$11</f>
        <v/>
      </c>
      <c r="V11" s="84">
        <f>$N$11</f>
        <v/>
      </c>
      <c r="W11" s="84">
        <f>$N$11</f>
        <v/>
      </c>
      <c r="X11" s="84">
        <f>$N$11</f>
        <v/>
      </c>
      <c r="Y11" s="84">
        <f>$N$11</f>
        <v/>
      </c>
      <c r="Z11" s="87">
        <f>Estimaciones!E20</f>
        <v/>
      </c>
      <c r="AA11" s="84">
        <f>$Z$11</f>
        <v/>
      </c>
      <c r="AB11" s="84">
        <f>$Z$11</f>
        <v/>
      </c>
      <c r="AC11" s="84">
        <f>$Z$11</f>
        <v/>
      </c>
      <c r="AD11" s="84">
        <f>$Z$11</f>
        <v/>
      </c>
      <c r="AE11" s="84">
        <f>$Z$11</f>
        <v/>
      </c>
      <c r="AF11" s="84">
        <f>$Z$11</f>
        <v/>
      </c>
      <c r="AG11" s="84">
        <f>$Z$11</f>
        <v/>
      </c>
      <c r="AH11" s="84">
        <f>$Z$11</f>
        <v/>
      </c>
      <c r="AI11" s="84">
        <f>$Z$11</f>
        <v/>
      </c>
      <c r="AJ11" s="84">
        <f>$Z$11</f>
        <v/>
      </c>
      <c r="AK11" s="86">
        <f>$Z$11</f>
        <v/>
      </c>
    </row>
    <row r="12">
      <c r="A12" s="48" t="inlineStr">
        <is>
          <t>Ingresos totales</t>
        </is>
      </c>
      <c r="B12" s="88">
        <f>B11*B9</f>
        <v/>
      </c>
      <c r="C12" s="88">
        <f>C11*C9</f>
        <v/>
      </c>
      <c r="D12" s="88">
        <f>D11*D9</f>
        <v/>
      </c>
      <c r="E12" s="88">
        <f>E11*E9</f>
        <v/>
      </c>
      <c r="F12" s="88">
        <f>F11*F9</f>
        <v/>
      </c>
      <c r="G12" s="88">
        <f>G11*G9</f>
        <v/>
      </c>
      <c r="H12" s="88">
        <f>H11*H9</f>
        <v/>
      </c>
      <c r="I12" s="88">
        <f>I11*I9</f>
        <v/>
      </c>
      <c r="J12" s="88">
        <f>J11*J9</f>
        <v/>
      </c>
      <c r="K12" s="88">
        <f>K11*K9</f>
        <v/>
      </c>
      <c r="L12" s="88">
        <f>L11*L9</f>
        <v/>
      </c>
      <c r="M12" s="89">
        <f>M11*M9</f>
        <v/>
      </c>
      <c r="N12" s="88">
        <f>N11*N9</f>
        <v/>
      </c>
      <c r="O12" s="88">
        <f>O11*O9</f>
        <v/>
      </c>
      <c r="P12" s="88">
        <f>P11*P9</f>
        <v/>
      </c>
      <c r="Q12" s="88">
        <f>Q11*Q9</f>
        <v/>
      </c>
      <c r="R12" s="88">
        <f>R11*R9</f>
        <v/>
      </c>
      <c r="S12" s="88">
        <f>S11*S9</f>
        <v/>
      </c>
      <c r="T12" s="88">
        <f>T11*T9</f>
        <v/>
      </c>
      <c r="U12" s="88">
        <f>U11*U9</f>
        <v/>
      </c>
      <c r="V12" s="88">
        <f>V11*V9</f>
        <v/>
      </c>
      <c r="W12" s="88">
        <f>W11*W9</f>
        <v/>
      </c>
      <c r="X12" s="88">
        <f>X11*X9</f>
        <v/>
      </c>
      <c r="Y12" s="88">
        <f>Y11*Y9</f>
        <v/>
      </c>
      <c r="Z12" s="90">
        <f>Z11*Z9</f>
        <v/>
      </c>
      <c r="AA12" s="88">
        <f>AA11*AA9</f>
        <v/>
      </c>
      <c r="AB12" s="88">
        <f>AB11*AB9</f>
        <v/>
      </c>
      <c r="AC12" s="88">
        <f>AC11*AC9</f>
        <v/>
      </c>
      <c r="AD12" s="88">
        <f>AD11*AD9</f>
        <v/>
      </c>
      <c r="AE12" s="88">
        <f>AE11*AE9</f>
        <v/>
      </c>
      <c r="AF12" s="88">
        <f>AF11*AF9</f>
        <v/>
      </c>
      <c r="AG12" s="88">
        <f>AG11*AG9</f>
        <v/>
      </c>
      <c r="AH12" s="88">
        <f>AH11*AH9</f>
        <v/>
      </c>
      <c r="AI12" s="88">
        <f>AI11*AI9</f>
        <v/>
      </c>
      <c r="AJ12" s="88">
        <f>AJ11*AJ9</f>
        <v/>
      </c>
      <c r="AK12" s="89">
        <f>AK11*AK9</f>
        <v/>
      </c>
    </row>
    <row r="13" ht="30" customHeight="1">
      <c r="A13" s="66" t="inlineStr">
        <is>
          <t>Utilidad operativa (EBITDA)</t>
        </is>
      </c>
      <c r="B13" s="88">
        <f>B12-B10</f>
        <v/>
      </c>
      <c r="C13" s="88">
        <f>C12-C10</f>
        <v/>
      </c>
      <c r="D13" s="88">
        <f>D12-D10</f>
        <v/>
      </c>
      <c r="E13" s="88">
        <f>E12-E10</f>
        <v/>
      </c>
      <c r="F13" s="88">
        <f>F12-F10</f>
        <v/>
      </c>
      <c r="G13" s="88">
        <f>G12-G10</f>
        <v/>
      </c>
      <c r="H13" s="88">
        <f>H12-H10</f>
        <v/>
      </c>
      <c r="I13" s="88">
        <f>I12-I10</f>
        <v/>
      </c>
      <c r="J13" s="88">
        <f>J12-J10</f>
        <v/>
      </c>
      <c r="K13" s="88">
        <f>K12-K10</f>
        <v/>
      </c>
      <c r="L13" s="88">
        <f>L12-L10</f>
        <v/>
      </c>
      <c r="M13" s="89">
        <f>M12-M10</f>
        <v/>
      </c>
      <c r="N13" s="88">
        <f>N12-N10</f>
        <v/>
      </c>
      <c r="O13" s="88">
        <f>O12-O10</f>
        <v/>
      </c>
      <c r="P13" s="88">
        <f>P12-P10</f>
        <v/>
      </c>
      <c r="Q13" s="88">
        <f>Q12-Q10</f>
        <v/>
      </c>
      <c r="R13" s="88">
        <f>R12-R10</f>
        <v/>
      </c>
      <c r="S13" s="88">
        <f>S12-S10</f>
        <v/>
      </c>
      <c r="T13" s="88">
        <f>T12-T10</f>
        <v/>
      </c>
      <c r="U13" s="88">
        <f>U12-U10</f>
        <v/>
      </c>
      <c r="V13" s="88">
        <f>V12-V10</f>
        <v/>
      </c>
      <c r="W13" s="88">
        <f>W12-W10</f>
        <v/>
      </c>
      <c r="X13" s="88">
        <f>X12-X10</f>
        <v/>
      </c>
      <c r="Y13" s="88">
        <f>Y12-Y10</f>
        <v/>
      </c>
      <c r="Z13" s="90">
        <f>Z12-Z10</f>
        <v/>
      </c>
      <c r="AA13" s="88">
        <f>AA12-AA10</f>
        <v/>
      </c>
      <c r="AB13" s="88">
        <f>AB12-AB10</f>
        <v/>
      </c>
      <c r="AC13" s="88">
        <f>AC12-AC10</f>
        <v/>
      </c>
      <c r="AD13" s="88">
        <f>AD12-AD10</f>
        <v/>
      </c>
      <c r="AE13" s="88">
        <f>AE12-AE10</f>
        <v/>
      </c>
      <c r="AF13" s="88">
        <f>AF12-AF10</f>
        <v/>
      </c>
      <c r="AG13" s="88">
        <f>AG12-AG10</f>
        <v/>
      </c>
      <c r="AH13" s="88">
        <f>AH12-AH10</f>
        <v/>
      </c>
      <c r="AI13" s="88">
        <f>AI12-AI10</f>
        <v/>
      </c>
      <c r="AJ13" s="88">
        <f>AJ12-AJ10</f>
        <v/>
      </c>
      <c r="AK13" s="89">
        <f>AK12-AK10</f>
        <v/>
      </c>
    </row>
    <row r="14" ht="30" customHeight="1">
      <c r="A14" s="91" t="n"/>
      <c r="B14" s="88" t="n"/>
      <c r="C14" s="88" t="n"/>
      <c r="D14" s="92" t="inlineStr">
        <is>
          <t>Punto de equilibrio</t>
        </is>
      </c>
      <c r="E14" s="93">
        <f>B2/(E11-B3)</f>
        <v/>
      </c>
      <c r="F14" s="88" t="n"/>
      <c r="G14" s="88" t="n"/>
      <c r="H14" s="88" t="n"/>
      <c r="I14" s="88" t="n"/>
      <c r="J14" s="88" t="n"/>
      <c r="K14" s="88" t="n"/>
      <c r="L14" s="88" t="n"/>
      <c r="M14" s="94">
        <f>SUM(B13:M13)</f>
        <v/>
      </c>
      <c r="N14" s="88" t="n"/>
      <c r="O14" s="88" t="n"/>
      <c r="P14" s="88" t="n"/>
      <c r="Q14" s="88" t="n"/>
      <c r="R14" s="88" t="n"/>
      <c r="S14" s="88" t="n"/>
      <c r="T14" s="88" t="n"/>
      <c r="U14" s="88" t="n"/>
      <c r="V14" s="88" t="n"/>
      <c r="W14" s="88" t="n"/>
      <c r="X14" s="88" t="n"/>
      <c r="Y14" s="95">
        <f>SUM(N13:Y13)</f>
        <v/>
      </c>
      <c r="Z14" s="90" t="n"/>
      <c r="AA14" s="88" t="n"/>
      <c r="AB14" s="88" t="n"/>
      <c r="AC14" s="88" t="n"/>
      <c r="AD14" s="88" t="n"/>
      <c r="AE14" s="88" t="n"/>
      <c r="AF14" s="88" t="n"/>
      <c r="AG14" s="88" t="n"/>
      <c r="AH14" s="88" t="n"/>
      <c r="AI14" s="88" t="n"/>
      <c r="AJ14" s="88" t="n"/>
      <c r="AK14" s="94">
        <f>SUM(Z13:AK13)</f>
        <v/>
      </c>
    </row>
    <row r="15" ht="100.5" customHeight="1">
      <c r="A15" s="48" t="inlineStr">
        <is>
          <t>(-) Depreciaciones (activos intangibles) y amortizaciones (activos intangibles)
2 al 5%</t>
        </is>
      </c>
      <c r="B15" s="88" t="n"/>
      <c r="C15" s="88" t="n"/>
      <c r="D15" s="96" t="inlineStr">
        <is>
          <t>Ingresos totales</t>
        </is>
      </c>
      <c r="E15" s="97">
        <f>E14*E11</f>
        <v/>
      </c>
      <c r="F15" s="88" t="n"/>
      <c r="G15" s="88" t="n"/>
      <c r="H15" s="88" t="n"/>
      <c r="I15" s="88" t="n"/>
      <c r="J15" s="88" t="n"/>
      <c r="K15" s="88" t="n"/>
      <c r="L15" s="88" t="n"/>
      <c r="M15" s="89">
        <f>SUM(B13:M13)*0.05</f>
        <v/>
      </c>
      <c r="N15" s="88" t="n"/>
      <c r="O15" s="88" t="n"/>
      <c r="P15" s="88" t="n"/>
      <c r="Q15" s="88" t="n"/>
      <c r="R15" s="88" t="n"/>
      <c r="S15" s="88" t="n"/>
      <c r="T15" s="88" t="n"/>
      <c r="U15" s="88" t="n"/>
      <c r="V15" s="88" t="n"/>
      <c r="W15" s="88" t="n"/>
      <c r="X15" s="88" t="n"/>
      <c r="Y15" s="88">
        <f>SUM(N13:Y13)*0.05</f>
        <v/>
      </c>
      <c r="Z15" s="90" t="n"/>
      <c r="AA15" s="88" t="n"/>
      <c r="AB15" s="88" t="n"/>
      <c r="AC15" s="88" t="n"/>
      <c r="AD15" s="88" t="n"/>
      <c r="AE15" s="88" t="n"/>
      <c r="AF15" s="88" t="n"/>
      <c r="AG15" s="88" t="n"/>
      <c r="AH15" s="88" t="n"/>
      <c r="AI15" s="88" t="n"/>
      <c r="AJ15" s="88" t="n"/>
      <c r="AK15" s="89">
        <f>SUM(Z13:AK13)*0.05</f>
        <v/>
      </c>
    </row>
    <row r="16" ht="57.75" customHeight="1">
      <c r="A16" s="48" t="inlineStr">
        <is>
          <t>(-) Intereses (Gastos financieros) 
0 al 3%</t>
        </is>
      </c>
      <c r="B16" s="88" t="n"/>
      <c r="C16" s="88" t="n"/>
      <c r="D16" s="96" t="inlineStr">
        <is>
          <t>Costos totales</t>
        </is>
      </c>
      <c r="E16" s="97">
        <f>E14*B3+B2</f>
        <v/>
      </c>
      <c r="F16" s="88" t="n"/>
      <c r="G16" s="88" t="n"/>
      <c r="H16" s="88" t="n"/>
      <c r="I16" s="88" t="n"/>
      <c r="J16" s="88" t="n"/>
      <c r="K16" s="88" t="n"/>
      <c r="L16" s="88" t="n"/>
      <c r="M16" s="89">
        <f>M14*0.03</f>
        <v/>
      </c>
      <c r="N16" s="88" t="n"/>
      <c r="O16" s="88" t="n"/>
      <c r="P16" s="88" t="n"/>
      <c r="Q16" s="88" t="n"/>
      <c r="R16" s="88" t="n"/>
      <c r="S16" s="88" t="n"/>
      <c r="T16" s="88" t="n"/>
      <c r="U16" s="88" t="n"/>
      <c r="V16" s="88" t="n"/>
      <c r="W16" s="88" t="n"/>
      <c r="X16" s="88" t="n"/>
      <c r="Y16" s="88">
        <f>Y14*0.03</f>
        <v/>
      </c>
      <c r="Z16" s="90" t="n"/>
      <c r="AA16" s="88" t="n"/>
      <c r="AB16" s="88" t="n"/>
      <c r="AC16" s="88" t="n"/>
      <c r="AD16" s="88" t="n"/>
      <c r="AE16" s="88" t="n"/>
      <c r="AF16" s="88" t="n"/>
      <c r="AG16" s="88" t="n"/>
      <c r="AH16" s="88" t="n"/>
      <c r="AI16" s="88" t="n"/>
      <c r="AJ16" s="88" t="n"/>
      <c r="AK16" s="89">
        <f>AK14*0.03</f>
        <v/>
      </c>
    </row>
    <row r="17" ht="30" customHeight="1">
      <c r="A17" s="66" t="inlineStr">
        <is>
          <t>Utilidad antes de impuestos (EBT)</t>
        </is>
      </c>
      <c r="B17" s="88" t="n"/>
      <c r="C17" s="88" t="n"/>
      <c r="D17" s="88" t="n"/>
      <c r="E17" s="88" t="n"/>
      <c r="F17" s="88" t="n"/>
      <c r="G17" s="88" t="n"/>
      <c r="H17" s="88" t="n"/>
      <c r="I17" s="88" t="n"/>
      <c r="J17" s="88" t="n"/>
      <c r="K17" s="88" t="n"/>
      <c r="L17" s="88" t="n"/>
      <c r="M17" s="89">
        <f>M14-M15-M16</f>
        <v/>
      </c>
      <c r="N17" s="88" t="n"/>
      <c r="O17" s="88" t="n"/>
      <c r="P17" s="88" t="n"/>
      <c r="Q17" s="88" t="n"/>
      <c r="R17" s="88" t="n"/>
      <c r="S17" s="88" t="n"/>
      <c r="T17" s="88" t="n"/>
      <c r="U17" s="88" t="n"/>
      <c r="V17" s="88" t="n"/>
      <c r="W17" s="88" t="n"/>
      <c r="X17" s="88" t="n"/>
      <c r="Y17" s="88">
        <f>Y14-Y15-Y16</f>
        <v/>
      </c>
      <c r="Z17" s="90" t="n"/>
      <c r="AA17" s="88" t="n"/>
      <c r="AB17" s="88" t="n"/>
      <c r="AC17" s="88" t="n"/>
      <c r="AD17" s="88" t="n"/>
      <c r="AE17" s="88" t="n"/>
      <c r="AF17" s="88" t="n"/>
      <c r="AG17" s="88" t="n"/>
      <c r="AH17" s="88" t="n"/>
      <c r="AI17" s="88" t="n"/>
      <c r="AJ17" s="88" t="n"/>
      <c r="AK17" s="89">
        <f>AK14-AK15-AK16</f>
        <v/>
      </c>
    </row>
    <row r="18" ht="29.25" customHeight="1">
      <c r="A18" s="48" t="inlineStr">
        <is>
          <t>(-) Impuestos (Renta 35%)</t>
        </is>
      </c>
      <c r="B18" s="88" t="n"/>
      <c r="C18" s="88" t="n"/>
      <c r="D18" s="88" t="n"/>
      <c r="E18" s="88" t="n"/>
      <c r="F18" s="88" t="n"/>
      <c r="G18" s="88" t="n"/>
      <c r="H18" s="88" t="n"/>
      <c r="I18" s="88" t="n"/>
      <c r="J18" s="88" t="n"/>
      <c r="K18" s="88" t="n"/>
      <c r="L18" s="88" t="n"/>
      <c r="M18" s="89">
        <f>M17*0.35</f>
        <v/>
      </c>
      <c r="N18" s="88" t="n"/>
      <c r="O18" s="88" t="n"/>
      <c r="P18" s="88" t="n"/>
      <c r="Q18" s="88" t="n"/>
      <c r="R18" s="88" t="n"/>
      <c r="S18" s="88" t="n"/>
      <c r="T18" s="88" t="n"/>
      <c r="U18" s="88" t="n"/>
      <c r="V18" s="88" t="n"/>
      <c r="W18" s="88" t="n"/>
      <c r="X18" s="88" t="n"/>
      <c r="Y18" s="88">
        <f>Y17*0.35</f>
        <v/>
      </c>
      <c r="Z18" s="90" t="n"/>
      <c r="AA18" s="88" t="n"/>
      <c r="AB18" s="88" t="n"/>
      <c r="AC18" s="88" t="n"/>
      <c r="AD18" s="88" t="n"/>
      <c r="AE18" s="88" t="n"/>
      <c r="AF18" s="88" t="n"/>
      <c r="AG18" s="88" t="n"/>
      <c r="AH18" s="88" t="n"/>
      <c r="AI18" s="88" t="n"/>
      <c r="AJ18" s="88" t="n"/>
      <c r="AK18" s="89">
        <f>AK17*0.35</f>
        <v/>
      </c>
    </row>
    <row r="19" ht="15.75" customHeight="1" thickBot="1">
      <c r="A19" s="65" t="inlineStr">
        <is>
          <t>Utilidad neta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98">
        <f>M17-M18</f>
        <v/>
      </c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99">
        <f>Y17-Y18</f>
        <v/>
      </c>
      <c r="Z19" s="35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98">
        <f>AK17-AK18</f>
        <v/>
      </c>
      <c r="AL19" s="77">
        <f>AK19/AK14</f>
        <v/>
      </c>
      <c r="AM19" s="27" t="inlineStr">
        <is>
          <t>Uilidad neta</t>
        </is>
      </c>
    </row>
    <row r="20">
      <c r="Y20" s="57" t="n"/>
    </row>
  </sheetData>
  <mergeCells count="5">
    <mergeCell ref="Z7:AK7"/>
    <mergeCell ref="B7:M7"/>
    <mergeCell ref="N7:Y7"/>
    <mergeCell ref="A13:A14"/>
    <mergeCell ref="A7:A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38"/>
  <sheetViews>
    <sheetView topLeftCell="A22" zoomScaleNormal="100" workbookViewId="0">
      <selection activeCell="D37" sqref="D37"/>
    </sheetView>
  </sheetViews>
  <sheetFormatPr baseColWidth="10" defaultColWidth="10.875" defaultRowHeight="15"/>
  <cols>
    <col width="10.875" customWidth="1" style="1" min="1" max="1"/>
    <col width="25.625" customWidth="1" style="2" min="2" max="2"/>
    <col width="23" customWidth="1" style="100" min="3" max="4"/>
    <col width="27.5" customWidth="1" style="100" min="5" max="5"/>
    <col width="32.875" customWidth="1" style="2" min="6" max="6"/>
    <col width="10.875" customWidth="1" style="1" min="7" max="16384"/>
  </cols>
  <sheetData>
    <row r="1" ht="15.75" customHeight="1" thickBot="1"/>
    <row r="2" ht="16.5" customHeight="1" thickBot="1">
      <c r="B2" s="101" t="inlineStr">
        <is>
          <t>Detalle de Costos</t>
        </is>
      </c>
      <c r="C2" s="102" t="n"/>
      <c r="D2" s="102" t="n"/>
      <c r="E2" s="102" t="n"/>
      <c r="F2" s="103" t="n"/>
    </row>
    <row r="3" ht="15.75" customHeight="1">
      <c r="B3" s="6" t="inlineStr">
        <is>
          <t>Concepto</t>
        </is>
      </c>
      <c r="C3" s="104" t="inlineStr">
        <is>
          <t>Año 1</t>
        </is>
      </c>
      <c r="D3" s="104" t="inlineStr">
        <is>
          <t>Año 2</t>
        </is>
      </c>
      <c r="E3" s="104" t="inlineStr">
        <is>
          <t>Año 3</t>
        </is>
      </c>
      <c r="F3" s="19" t="inlineStr">
        <is>
          <t>Descripción</t>
        </is>
      </c>
    </row>
    <row r="4" ht="31.5" customHeight="1">
      <c r="B4" s="12" t="inlineStr">
        <is>
          <t>Subtotal Costos fijos mensuales</t>
        </is>
      </c>
      <c r="C4" s="100">
        <f>SUM(C5:C9)</f>
        <v/>
      </c>
      <c r="D4" s="100">
        <f>SUM(D5:D9)</f>
        <v/>
      </c>
      <c r="E4" s="100">
        <f>SUM(E5:E9)</f>
        <v/>
      </c>
      <c r="F4" s="21" t="n"/>
    </row>
    <row r="5">
      <c r="B5" s="13" t="inlineStr">
        <is>
          <t>Desarrollador</t>
        </is>
      </c>
      <c r="C5" s="100" t="n">
        <v>7000000</v>
      </c>
      <c r="D5" s="100">
        <f>C5*1.08</f>
        <v/>
      </c>
      <c r="E5" s="100">
        <f>D5*1.08</f>
        <v/>
      </c>
      <c r="F5" s="21" t="inlineStr">
        <is>
          <t>Aumento del 8% del SMMLV</t>
        </is>
      </c>
    </row>
    <row r="6">
      <c r="B6" s="13" t="inlineStr">
        <is>
          <t>CEO</t>
        </is>
      </c>
      <c r="C6" s="100" t="n">
        <v>5000000</v>
      </c>
      <c r="D6" s="100">
        <f>C6*1.08</f>
        <v/>
      </c>
      <c r="E6" s="100">
        <f>D6*1.08</f>
        <v/>
      </c>
      <c r="F6" s="21" t="inlineStr">
        <is>
          <t>Aumento del 8% del SMMLV</t>
        </is>
      </c>
    </row>
    <row r="7">
      <c r="B7" s="13" t="inlineStr">
        <is>
          <t>CMO</t>
        </is>
      </c>
      <c r="C7" s="100" t="n">
        <v>4000000</v>
      </c>
      <c r="D7" s="100">
        <f>C7*1.08</f>
        <v/>
      </c>
      <c r="E7" s="100">
        <f>D7*1.08</f>
        <v/>
      </c>
      <c r="F7" s="21" t="inlineStr">
        <is>
          <t>Aumento del 8% del SMMLV</t>
        </is>
      </c>
    </row>
    <row r="8" ht="60" customHeight="1">
      <c r="B8" s="13" t="inlineStr">
        <is>
          <t>Gastos de administración</t>
        </is>
      </c>
      <c r="C8" s="100" t="n">
        <v>3500000</v>
      </c>
      <c r="D8" s="100">
        <f>C8*1.5</f>
        <v/>
      </c>
      <c r="E8" s="100">
        <f>D8*1.5</f>
        <v/>
      </c>
      <c r="F8" s="21" t="inlineStr">
        <is>
          <t>Suscripciones de software, contabilidad, dominio, licencias. Aumento del 50% cada año, dado el aumento de clientes.</t>
        </is>
      </c>
    </row>
    <row r="9">
      <c r="B9" s="13" t="inlineStr">
        <is>
          <t>Gastos de ventas</t>
        </is>
      </c>
      <c r="C9" s="100" t="n">
        <v>2000000</v>
      </c>
      <c r="D9" s="100">
        <f>(D10*120)</f>
        <v/>
      </c>
      <c r="E9" s="100">
        <f>(E10*200)</f>
        <v/>
      </c>
      <c r="F9" s="21" t="inlineStr">
        <is>
          <t>Pauta en redes sociales</t>
        </is>
      </c>
    </row>
    <row r="10">
      <c r="B10" s="13" t="inlineStr">
        <is>
          <t>CAC</t>
        </is>
      </c>
      <c r="C10" s="100">
        <f>C9/100</f>
        <v/>
      </c>
      <c r="D10" s="100">
        <f>C10*1.05</f>
        <v/>
      </c>
      <c r="E10" s="100">
        <f>D10*1.05</f>
        <v/>
      </c>
      <c r="F10" s="21" t="n"/>
    </row>
    <row r="11" ht="31.5" customHeight="1">
      <c r="B11" s="12" t="inlineStr">
        <is>
          <t>Costos variables por usuario</t>
        </is>
      </c>
      <c r="C11" s="100" t="n">
        <v>28000</v>
      </c>
      <c r="D11" s="100">
        <f>C11*1.05</f>
        <v/>
      </c>
      <c r="E11" s="100">
        <f>D11*1.05</f>
        <v/>
      </c>
      <c r="F11" s="21" t="inlineStr">
        <is>
          <t xml:space="preserve">Aumento 5% (IPC). </t>
        </is>
      </c>
    </row>
    <row r="12" ht="31.5" customHeight="1">
      <c r="B12" s="12" t="inlineStr">
        <is>
          <t>Subtotal Costos variables</t>
        </is>
      </c>
      <c r="C12" s="100">
        <f>C11*C17</f>
        <v/>
      </c>
      <c r="D12" s="100">
        <f>D11*D17</f>
        <v/>
      </c>
      <c r="E12" s="100">
        <f>E11*E17</f>
        <v/>
      </c>
      <c r="F12" s="21" t="n"/>
    </row>
    <row r="13" ht="32.25" customHeight="1" thickBot="1">
      <c r="B13" s="16" t="inlineStr">
        <is>
          <t>Subtotal Costos mensuales</t>
        </is>
      </c>
      <c r="C13" s="105">
        <f>SUM(C4,C12)</f>
        <v/>
      </c>
      <c r="D13" s="105">
        <f>SUM(D4,D12)</f>
        <v/>
      </c>
      <c r="E13" s="105">
        <f>SUM(E4,E12)</f>
        <v/>
      </c>
      <c r="F13" s="23" t="n"/>
    </row>
    <row r="14" ht="15.75" customHeight="1" thickBot="1"/>
    <row r="15" ht="16.5" customHeight="1" thickBot="1">
      <c r="B15" s="106" t="inlineStr">
        <is>
          <t>Estimación del precio de venta y utilidades</t>
        </is>
      </c>
      <c r="C15" s="102" t="n"/>
      <c r="D15" s="102" t="n"/>
      <c r="E15" s="102" t="n"/>
      <c r="F15" s="103" t="n"/>
    </row>
    <row r="16" ht="15.75" customHeight="1">
      <c r="B16" s="6" t="inlineStr">
        <is>
          <t>Precio de venta</t>
        </is>
      </c>
      <c r="C16" s="104" t="inlineStr">
        <is>
          <t>Año 1</t>
        </is>
      </c>
      <c r="D16" s="104" t="inlineStr">
        <is>
          <t>Año 2</t>
        </is>
      </c>
      <c r="E16" s="104" t="inlineStr">
        <is>
          <t>Año 3</t>
        </is>
      </c>
      <c r="F16" s="19" t="inlineStr">
        <is>
          <t>Observación</t>
        </is>
      </c>
    </row>
    <row r="17" ht="30" customHeight="1">
      <c r="B17" s="13" t="inlineStr">
        <is>
          <t>No. de clientes promedio mensual</t>
        </is>
      </c>
      <c r="C17" s="20">
        <f>AVERAGE(Proyecciones!B9:M9)</f>
        <v/>
      </c>
      <c r="D17" s="20">
        <f>AVERAGE(Proyecciones!N9:Y9)</f>
        <v/>
      </c>
      <c r="E17" s="20">
        <f>AVERAGE(Proyecciones!Z9:AK9)</f>
        <v/>
      </c>
      <c r="F17" s="21" t="n"/>
    </row>
    <row r="18" ht="30" customHeight="1">
      <c r="B18" s="13" t="inlineStr">
        <is>
          <t>Costo promedio por cliente mensual</t>
        </is>
      </c>
      <c r="C18" s="100">
        <f>C13/C17</f>
        <v/>
      </c>
      <c r="D18" s="100">
        <f>D13/D17</f>
        <v/>
      </c>
      <c r="E18" s="100">
        <f>E13/E17</f>
        <v/>
      </c>
      <c r="F18" s="21" t="n"/>
    </row>
    <row r="19" ht="30" customHeight="1">
      <c r="B19" s="13" t="inlineStr">
        <is>
          <t>Por Margen de utilidad (30%)</t>
        </is>
      </c>
      <c r="C19" s="100">
        <f>C18*1.3</f>
        <v/>
      </c>
      <c r="D19" s="100">
        <f>C19*1.05</f>
        <v/>
      </c>
      <c r="E19" s="100">
        <f>D19*1.05</f>
        <v/>
      </c>
      <c r="F19" s="21" t="inlineStr">
        <is>
          <t>Aumento 5% según IPC</t>
        </is>
      </c>
    </row>
    <row r="20">
      <c r="B20" s="13" t="inlineStr">
        <is>
          <t>Por percepción</t>
        </is>
      </c>
      <c r="C20" s="100" t="n">
        <v>210000</v>
      </c>
      <c r="D20" s="100">
        <f>C20*1.05</f>
        <v/>
      </c>
      <c r="E20" s="100">
        <f>D20*1.05</f>
        <v/>
      </c>
      <c r="F20" s="21" t="n"/>
    </row>
    <row r="21">
      <c r="B21" s="13" t="inlineStr">
        <is>
          <t>Según competencia</t>
        </is>
      </c>
      <c r="C21" s="100" t="n">
        <v>149900</v>
      </c>
      <c r="D21" s="100">
        <f>C21*1.05</f>
        <v/>
      </c>
      <c r="E21" s="100">
        <f>D21*1.05</f>
        <v/>
      </c>
      <c r="F21" s="21" t="n"/>
    </row>
    <row r="22" ht="30" customHeight="1">
      <c r="B22" s="13" t="inlineStr">
        <is>
          <t>Ingresos mensuales promedio</t>
        </is>
      </c>
      <c r="C22" s="100">
        <f>C17*C19</f>
        <v/>
      </c>
      <c r="D22" s="100">
        <f>D17*D19</f>
        <v/>
      </c>
      <c r="E22" s="100">
        <f>E17*E19</f>
        <v/>
      </c>
      <c r="F22" s="21" t="n"/>
    </row>
    <row r="23" ht="30.75" customHeight="1" thickBot="1">
      <c r="B23" s="22" t="inlineStr">
        <is>
          <t>Utilidad operacional promedio mensual</t>
        </is>
      </c>
      <c r="C23" s="105">
        <f>C22-C13</f>
        <v/>
      </c>
      <c r="D23" s="105">
        <f>D22-D13</f>
        <v/>
      </c>
      <c r="E23" s="105">
        <f>E22-E13</f>
        <v/>
      </c>
      <c r="F23" s="23" t="n"/>
    </row>
    <row r="24" ht="15.75" customHeight="1" thickBot="1"/>
    <row r="25" ht="16.5" customHeight="1" thickBot="1">
      <c r="B25" s="106" t="inlineStr">
        <is>
          <t>Valoración de la empresa</t>
        </is>
      </c>
      <c r="C25" s="102" t="n"/>
      <c r="D25" s="102" t="n"/>
      <c r="E25" s="103" t="n"/>
    </row>
    <row r="26" ht="75" customHeight="1">
      <c r="B26" s="6" t="inlineStr">
        <is>
          <t>Valoración pre-money</t>
        </is>
      </c>
      <c r="C26" s="107">
        <f>(C34*0.90)/0.10</f>
        <v/>
      </c>
      <c r="D26" s="108" t="n"/>
      <c r="E26" s="109" t="inlineStr">
        <is>
          <t>Activos intangibles (prototipo funcional, tracción inicial, sweat equity) y potencial a futuro  (oportunidad de mercado).</t>
        </is>
      </c>
    </row>
    <row r="27" ht="15.75" customHeight="1">
      <c r="B27" s="12" t="inlineStr">
        <is>
          <t>Inversión inicial</t>
        </is>
      </c>
      <c r="C27" s="100">
        <f>SUM(C28:C29)</f>
        <v/>
      </c>
      <c r="D27" s="100" t="n"/>
      <c r="E27" s="110" t="n"/>
    </row>
    <row r="28" ht="30" customHeight="1">
      <c r="B28" s="13" t="inlineStr">
        <is>
          <t>Operación inicial</t>
        </is>
      </c>
      <c r="C28" s="100">
        <f>SUM(Proyecciones!B10:F10)</f>
        <v/>
      </c>
      <c r="D28" s="10" t="n"/>
      <c r="E28" s="111" t="inlineStr">
        <is>
          <t>Cinco primeros meses que no percibo utilidades</t>
        </is>
      </c>
      <c r="F28" s="112" t="n"/>
    </row>
    <row r="29">
      <c r="B29" s="15" t="inlineStr">
        <is>
          <t>Creación de la empresa</t>
        </is>
      </c>
      <c r="C29" s="100" t="n">
        <v>2500000</v>
      </c>
      <c r="D29" s="10" t="n"/>
      <c r="E29" s="110" t="n"/>
    </row>
    <row r="30" ht="31.5" customHeight="1">
      <c r="B30" s="12" t="inlineStr">
        <is>
          <t>Deuda financiera (Pasivo)</t>
        </is>
      </c>
      <c r="C30" s="100">
        <f>C27-C34-C33</f>
        <v/>
      </c>
      <c r="D30" s="10" t="n"/>
      <c r="E30" s="110" t="n"/>
    </row>
    <row r="31" ht="15.75" customHeight="1">
      <c r="B31" s="12" t="inlineStr">
        <is>
          <t>Patrimonio (Equity)</t>
        </is>
      </c>
      <c r="C31" s="100">
        <f>SUM(C32:C34)</f>
        <v/>
      </c>
      <c r="D31" s="10">
        <f>SUM(D32:D34)</f>
        <v/>
      </c>
      <c r="E31" s="110" t="n"/>
    </row>
    <row r="32" ht="30" customHeight="1">
      <c r="B32" s="13" t="inlineStr">
        <is>
          <t>Aportes propios (idea + código)</t>
        </is>
      </c>
      <c r="C32" s="100">
        <f>C26</f>
        <v/>
      </c>
      <c r="D32" s="10">
        <f>C32/C31</f>
        <v/>
      </c>
      <c r="E32" s="110" t="n"/>
    </row>
    <row r="33">
      <c r="B33" s="13" t="inlineStr">
        <is>
          <t>Aportes propios en efectivo</t>
        </is>
      </c>
      <c r="C33" s="100" t="n"/>
      <c r="D33" s="10" t="n"/>
      <c r="E33" s="110" t="n"/>
    </row>
    <row r="34" ht="31.5" customHeight="1">
      <c r="B34" s="60" t="inlineStr">
        <is>
          <t>Aportes en efectivo de socios</t>
        </is>
      </c>
      <c r="C34" s="100" t="n">
        <v>250000000</v>
      </c>
      <c r="D34" s="10">
        <f>C34/C31</f>
        <v/>
      </c>
      <c r="E34" s="111" t="inlineStr">
        <is>
          <t>A cambio del 10% del negocio. Post-money: $2.500M COP (USD $610K)</t>
        </is>
      </c>
    </row>
    <row r="35" ht="60" customHeight="1">
      <c r="B35" s="12" t="inlineStr">
        <is>
          <t>"Valoración post-money"</t>
        </is>
      </c>
      <c r="C35" s="100">
        <f>SUM(C32:C34)</f>
        <v/>
      </c>
      <c r="D35" s="39" t="n"/>
      <c r="E35" s="111" t="inlineStr">
        <is>
          <t>Nuevo patrimonio con aportes de inversionistas. Valor de la empresa hoy con la inversión de socios</t>
        </is>
      </c>
    </row>
    <row r="36" ht="15.75" customHeight="1">
      <c r="B36" s="12" t="inlineStr">
        <is>
          <t>Valoración en 3 años</t>
        </is>
      </c>
      <c r="C36" s="100">
        <f>SUM(Proyecciones!Z13:AK13)*5</f>
        <v/>
      </c>
      <c r="D36" s="100" t="n"/>
      <c r="E36" s="110" t="inlineStr">
        <is>
          <t>EBITDA (5x)</t>
        </is>
      </c>
    </row>
    <row r="37" ht="45.75" customHeight="1" thickBot="1">
      <c r="B37" s="22" t="inlineStr">
        <is>
          <t>Valorización de la inversión de socios</t>
        </is>
      </c>
      <c r="C37" s="113">
        <f>C36*D34</f>
        <v/>
      </c>
      <c r="D37" s="41">
        <f>C37/C34</f>
        <v/>
      </c>
      <c r="E37" s="42" t="inlineStr">
        <is>
          <t>La inversión de los socios se valorizará 53 veces en 3 años.</t>
        </is>
      </c>
    </row>
    <row r="38">
      <c r="C38" s="56" t="n"/>
    </row>
  </sheetData>
  <mergeCells count="3">
    <mergeCell ref="B2:F2"/>
    <mergeCell ref="B15:F15"/>
    <mergeCell ref="B25:E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Denis Carolina Moreno Castillo</dc:creator>
  <dcterms:created xsi:type="dcterms:W3CDTF">2026-04-01T19:05:37Z</dcterms:created>
  <dcterms:modified xsi:type="dcterms:W3CDTF">2026-05-25T22:31:32Z</dcterms:modified>
  <cp:lastModifiedBy>Denis Carolina Moreno Castillo</cp:lastModifiedBy>
</cp:coreProperties>
</file>